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คำอธิบาย" sheetId="1" state="visible" r:id="rId1"/>
    <sheet name="1_ขาเข้า-บัตรผ่าน" sheetId="2" state="visible" r:id="rId2"/>
    <sheet name="2_ขาเข้า-บัตรไม่ผ่าน" sheetId="3" state="visible" r:id="rId3"/>
    <sheet name="3_ขาออก-บัตรผ่าน" sheetId="4" state="visible" r:id="rId4"/>
    <sheet name="4_ขาออก-บัตรไม่ผ่าน" sheetId="5" state="visible" r:id="rId5"/>
    <sheet name="สรุปผ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Tahoma"/>
      <b val="1"/>
      <color rgb="001F4E78"/>
      <sz val="14"/>
    </font>
    <font>
      <name val="Tahoma"/>
      <b val="1"/>
      <color rgb="00C00000"/>
      <sz val="12"/>
    </font>
    <font>
      <name val="Tahoma"/>
      <b val="1"/>
      <color rgb="00000000"/>
      <sz val="11"/>
    </font>
    <font>
      <name val="Tahoma"/>
      <color rgb="00000000"/>
      <sz val="11"/>
    </font>
    <font>
      <name val="Tahoma"/>
      <b val="1"/>
      <color rgb="001F4E78"/>
      <sz val="12"/>
    </font>
    <font>
      <name val="Tahoma"/>
      <b val="1"/>
      <color rgb="00FFFFFF"/>
      <sz val="10"/>
    </font>
    <font>
      <name val="Tahoma"/>
      <color rgb="00000000"/>
      <sz val="10"/>
    </font>
    <font>
      <name val="Tahoma"/>
      <b val="1"/>
      <color rgb="001F4E78"/>
      <sz val="13"/>
    </font>
    <font>
      <name val="Tahoma"/>
      <b val="1"/>
      <color rgb="00000000"/>
      <sz val="10"/>
    </font>
    <font>
      <name val="Tahoma"/>
      <color rgb="00808080"/>
      <sz val="9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9" fillId="4" borderId="1" applyAlignment="1" pivotButton="0" quotePrefix="0" xfId="0">
      <alignment horizontal="center" vertical="center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ตารางผลการทดลองฮาร์ดแวร์ — ระบบล็อกประตูอัจฉริยะ RFID + กล้อง IoT</t>
        </is>
      </c>
    </row>
    <row r="4">
      <c r="B4" s="2" t="inlineStr">
        <is>
          <t>วิธีคำนวณค่าความผิดพลาด (Err %)</t>
        </is>
      </c>
    </row>
    <row r="5">
      <c r="B5" s="3" t="inlineStr">
        <is>
          <t>Err % = ( จำนวนครั้งที่ผิดพลาด  ÷  จำนวนครั้งที่ทดสอบทั้งหมด )  ×  100</t>
        </is>
      </c>
    </row>
    <row r="6">
      <c r="B6" s="4" t="inlineStr">
        <is>
          <t>โดย   จำนวนครั้งที่ผิดพลาด  =  จำนวนครั้งที่ทดสอบทั้งหมด (N)  −  จำนวนครั้งที่สำเร็จ</t>
        </is>
      </c>
    </row>
    <row r="7">
      <c r="B7" s="4" t="inlineStr"/>
    </row>
    <row r="8">
      <c r="B8" s="4" t="inlineStr">
        <is>
          <t>ตัวอย่าง : ทดสอบ 10 ครั้ง สำเร็จ 9 ครั้ง  →  ผิดพลาด = 10 − 9 = 1  →  Err % = 1/10 × 100 = 10.0%</t>
        </is>
      </c>
    </row>
    <row r="9">
      <c r="B9" s="4" t="inlineStr"/>
    </row>
    <row r="10">
      <c r="B10" s="4" t="inlineStr">
        <is>
          <t>• กรอกเฉพาะช่องสีเหลือง 2 ช่อง คือ  "ครั้งทดสอบ (N)"  และ  "สำเร็จ"</t>
        </is>
      </c>
    </row>
    <row r="11">
      <c r="B11" s="4" t="inlineStr">
        <is>
          <t>• ช่อง "ผิดพลาด" และ "Err %" คำนวณให้อัตโนมัติด้วยสูตร (ห้ามพิมพ์ทับ)</t>
        </is>
      </c>
    </row>
    <row r="12">
      <c r="B12" s="4" t="inlineStr">
        <is>
          <t>• แนะนำทดสอบอย่างน้อย 10 ครั้ง/แถว (RFID และ End-to-end แนะนำ 20–30 ครั้ง) เพื่อให้ % น่าเชื่อถือ</t>
        </is>
      </c>
    </row>
    <row r="13">
      <c r="B13" s="4" t="inlineStr">
        <is>
          <t>• แถวรวมท้ายตาราง = ผลรวมทุกขั้นของกรณีนั้น  (Err% รวม = Σผิดพลาด ÷ ΣN)</t>
        </is>
      </c>
    </row>
    <row r="15">
      <c r="B15" s="5" t="inlineStr">
        <is>
          <t>สัญลักษณ์สี</t>
        </is>
      </c>
    </row>
    <row r="16">
      <c r="B16" s="6" t="inlineStr">
        <is>
          <t>ช่องกรอกเอง (input)</t>
        </is>
      </c>
      <c r="C16" s="4">
        <f> ตัวเลขที่ต้องกรอกตอนทดสอบจริง</f>
        <v/>
      </c>
    </row>
    <row r="18">
      <c r="B18" s="3" t="inlineStr">
        <is>
          <t>ตัวอย่างการกรอก (แถวสาธิต — ไม่ใช่ข้อมูลจริง)</t>
        </is>
      </c>
    </row>
    <row r="19">
      <c r="B19" s="7" t="inlineStr">
        <is>
          <t>อุปกรณ์</t>
        </is>
      </c>
      <c r="C19" s="7" t="inlineStr">
        <is>
          <t>ครั้งทดสอบ (N)</t>
        </is>
      </c>
      <c r="D19" s="7" t="inlineStr">
        <is>
          <t>สำเร็จ</t>
        </is>
      </c>
      <c r="E19" s="7" t="inlineStr">
        <is>
          <t>ผิดพลาด</t>
        </is>
      </c>
      <c r="F19" s="7" t="inlineStr">
        <is>
          <t>Err %</t>
        </is>
      </c>
    </row>
    <row r="20">
      <c r="B20" s="8" t="inlineStr">
        <is>
          <t>RFID #1 (สาธิต)</t>
        </is>
      </c>
      <c r="C20" s="9" t="n">
        <v>10</v>
      </c>
      <c r="D20" s="9" t="n">
        <v>9</v>
      </c>
      <c r="E20" s="10">
        <f>C20-D20</f>
        <v/>
      </c>
      <c r="F20" s="11">
        <f>IF(OR(C20="",C20=0),"",(C20-D20)/C20)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30" customWidth="1" min="4" max="4"/>
    <col width="13" customWidth="1" min="5" max="5"/>
    <col width="9" customWidth="1" min="6" max="6"/>
    <col width="9" customWidth="1" min="7" max="7"/>
    <col width="10" customWidth="1" min="8" max="8"/>
  </cols>
  <sheetData>
    <row r="1">
      <c r="A1" s="12" t="inlineStr">
        <is>
          <t>กรณีที่ 1 : ฝั่งขาเข้า (Entry) — บัตรผ่าน (granted)</t>
        </is>
      </c>
    </row>
    <row r="3">
      <c r="A3" s="7" t="inlineStr">
        <is>
          <t>ลำดับ</t>
        </is>
      </c>
      <c r="B3" s="7" t="inlineStr">
        <is>
          <t>อุปกรณ์</t>
        </is>
      </c>
      <c r="C3" s="7" t="inlineStr">
        <is>
          <t>Input</t>
        </is>
      </c>
      <c r="D3" s="7" t="inlineStr">
        <is>
          <t>Output ที่คาดหวัง</t>
        </is>
      </c>
      <c r="E3" s="7" t="inlineStr">
        <is>
          <t>ครั้งทดสอบ (N)</t>
        </is>
      </c>
      <c r="F3" s="7" t="inlineStr">
        <is>
          <t>สำเร็จ</t>
        </is>
      </c>
      <c r="G3" s="7" t="inlineStr">
        <is>
          <t>ผิดพลาด</t>
        </is>
      </c>
      <c r="H3" s="7" t="inlineStr">
        <is>
          <t>Err %</t>
        </is>
      </c>
    </row>
    <row r="4">
      <c r="A4" s="10" t="n">
        <v>1</v>
      </c>
      <c r="B4" s="8" t="inlineStr">
        <is>
          <t>Ultrasonic HY-SRF05</t>
        </is>
      </c>
      <c r="C4" s="8" t="inlineStr">
        <is>
          <t>เข้าใกล้ &lt; 100 ซม.</t>
        </is>
      </c>
      <c r="D4" s="8" t="inlineStr">
        <is>
          <t>WAKE → สั่งกล้องเปิด</t>
        </is>
      </c>
      <c r="E4" s="9" t="n"/>
      <c r="F4" s="9" t="n"/>
      <c r="G4" s="10">
        <f>IF(E4="","",E4-F4)</f>
        <v/>
      </c>
      <c r="H4" s="11">
        <f>IF(OR(E4="",E4=0),"",(E4-F4)/E4)</f>
        <v/>
      </c>
    </row>
    <row r="5">
      <c r="A5" s="10" t="n">
        <v>2</v>
      </c>
      <c r="B5" s="8" t="inlineStr">
        <is>
          <t>ESP32-CAM (จอ TFT)</t>
        </is>
      </c>
      <c r="C5" s="8" t="inlineStr">
        <is>
          <t>คำสั่ง WAKE</t>
        </is>
      </c>
      <c r="D5" s="8" t="inlineStr">
        <is>
          <t>เปิดจอ ST7735S + สตรีมภาพสด</t>
        </is>
      </c>
      <c r="E5" s="9" t="n"/>
      <c r="F5" s="9" t="n"/>
      <c r="G5" s="10">
        <f>IF(E5="","",E5-F5)</f>
        <v/>
      </c>
      <c r="H5" s="11">
        <f>IF(OR(E5="",E5=0),"",(E5-F5)/E5)</f>
        <v/>
      </c>
    </row>
    <row r="6">
      <c r="A6" s="10" t="n">
        <v>3</v>
      </c>
      <c r="B6" s="8" t="inlineStr">
        <is>
          <t>Ultrasonic HY-SRF05</t>
        </is>
      </c>
      <c r="C6" s="8" t="inlineStr">
        <is>
          <t>ประชิด &lt; 45 ซม.</t>
        </is>
      </c>
      <c r="D6" s="8" t="inlineStr">
        <is>
          <t>PRECAP</t>
        </is>
      </c>
      <c r="E6" s="9" t="n"/>
      <c r="F6" s="9" t="n"/>
      <c r="G6" s="10">
        <f>IF(E6="","",E6-F6)</f>
        <v/>
      </c>
      <c r="H6" s="11">
        <f>IF(OR(E6="",E6=0),"",(E6-F6)/E6)</f>
        <v/>
      </c>
    </row>
    <row r="7">
      <c r="A7" s="10" t="n">
        <v>4</v>
      </c>
      <c r="B7" s="8" t="inlineStr">
        <is>
          <t>ESP32-CAM (กล้อง)</t>
        </is>
      </c>
      <c r="C7" s="8" t="inlineStr">
        <is>
          <t>คำสั่ง PRECAP</t>
        </is>
      </c>
      <c r="D7" s="8" t="inlineStr">
        <is>
          <t>ถ่ายภาพนิ่งล่วงหน้า เก็บพร้อมส่ง</t>
        </is>
      </c>
      <c r="E7" s="9" t="n"/>
      <c r="F7" s="9" t="n"/>
      <c r="G7" s="10">
        <f>IF(E7="","",E7-F7)</f>
        <v/>
      </c>
      <c r="H7" s="11">
        <f>IF(OR(E7="",E7=0),"",(E7-F7)/E7)</f>
        <v/>
      </c>
    </row>
    <row r="8">
      <c r="A8" s="10" t="n">
        <v>5</v>
      </c>
      <c r="B8" s="8" t="inlineStr">
        <is>
          <t>RFID RC522 #1 (เข้า)</t>
        </is>
      </c>
      <c r="C8" s="8" t="inlineStr">
        <is>
          <t>ทาบบัตรที่ลงทะเบียน</t>
        </is>
      </c>
      <c r="D8" s="8" t="inlineStr">
        <is>
          <t>อ่าน UID ถูกต้อง → ส่ง direction:in</t>
        </is>
      </c>
      <c r="E8" s="9" t="n"/>
      <c r="F8" s="9" t="n"/>
      <c r="G8" s="10">
        <f>IF(E8="","",E8-F8)</f>
        <v/>
      </c>
      <c r="H8" s="11">
        <f>IF(OR(E8="",E8=0),"",(E8-F8)/E8)</f>
        <v/>
      </c>
    </row>
    <row r="9">
      <c r="A9" s="10" t="n">
        <v>6</v>
      </c>
      <c r="B9" s="8" t="inlineStr">
        <is>
          <t>Backend /access</t>
        </is>
      </c>
      <c r="C9" s="8" t="inlineStr">
        <is>
          <t>รับ JSON {uid, in}</t>
        </is>
      </c>
      <c r="D9" s="8" t="inlineStr">
        <is>
          <t>ตอบ granted</t>
        </is>
      </c>
      <c r="E9" s="9" t="n"/>
      <c r="F9" s="9" t="n"/>
      <c r="G9" s="10">
        <f>IF(E9="","",E9-F9)</f>
        <v/>
      </c>
      <c r="H9" s="11">
        <f>IF(OR(E9="",E9=0),"",(E9-F9)/E9)</f>
        <v/>
      </c>
    </row>
    <row r="10">
      <c r="A10" s="10" t="n">
        <v>7</v>
      </c>
      <c r="B10" s="8" t="inlineStr">
        <is>
          <t>ESP32-CAM (/capture)</t>
        </is>
      </c>
      <c r="C10" s="8" t="inlineStr">
        <is>
          <t>backend ดึงรูป</t>
        </is>
      </c>
      <c r="D10" s="8" t="inlineStr">
        <is>
          <t>คืนไฟล์ JPEG ไม่เสีย</t>
        </is>
      </c>
      <c r="E10" s="9" t="n"/>
      <c r="F10" s="9" t="n"/>
      <c r="G10" s="10">
        <f>IF(E10="","",E10-F10)</f>
        <v/>
      </c>
      <c r="H10" s="11">
        <f>IF(OR(E10="",E10=0),"",(E10-F10)/E10)</f>
        <v/>
      </c>
    </row>
    <row r="11">
      <c r="A11" s="10" t="n">
        <v>8</v>
      </c>
      <c r="B11" s="8" t="inlineStr">
        <is>
          <t>OLED SH1106</t>
        </is>
      </c>
      <c r="C11" s="8" t="inlineStr">
        <is>
          <t>—</t>
        </is>
      </c>
      <c r="D11" s="8" t="inlineStr">
        <is>
          <t>แสดงข้อความ "อนุญาต"</t>
        </is>
      </c>
      <c r="E11" s="9" t="n"/>
      <c r="F11" s="9" t="n"/>
      <c r="G11" s="10">
        <f>IF(E11="","",E11-F11)</f>
        <v/>
      </c>
      <c r="H11" s="11">
        <f>IF(OR(E11="",E11=0),"",(E11-F11)/E11)</f>
        <v/>
      </c>
    </row>
    <row r="12">
      <c r="A12" s="10" t="n">
        <v>9</v>
      </c>
      <c r="B12" s="8" t="inlineStr">
        <is>
          <t>Buzzer</t>
        </is>
      </c>
      <c r="C12" s="8" t="inlineStr">
        <is>
          <t>—</t>
        </is>
      </c>
      <c r="D12" s="8" t="inlineStr">
        <is>
          <t>เสียงสั้น 0.2 วินาที</t>
        </is>
      </c>
      <c r="E12" s="9" t="n"/>
      <c r="F12" s="9" t="n"/>
      <c r="G12" s="10">
        <f>IF(E12="","",E12-F12)</f>
        <v/>
      </c>
      <c r="H12" s="11">
        <f>IF(OR(E12="",E12=0),"",(E12-F12)/E12)</f>
        <v/>
      </c>
    </row>
    <row r="13">
      <c r="A13" s="10" t="n">
        <v>10</v>
      </c>
      <c r="B13" s="8" t="inlineStr">
        <is>
          <t>Relay + Solenoid Lock</t>
        </is>
      </c>
      <c r="C13" s="8" t="inlineStr">
        <is>
          <t>—</t>
        </is>
      </c>
      <c r="D13" s="8" t="inlineStr">
        <is>
          <t>ปลดล็อก 5 วินาที → ล็อกกลับ</t>
        </is>
      </c>
      <c r="E13" s="9" t="n"/>
      <c r="F13" s="9" t="n"/>
      <c r="G13" s="10">
        <f>IF(E13="","",E13-F13)</f>
        <v/>
      </c>
      <c r="H13" s="11">
        <f>IF(OR(E13="",E13=0),"",(E13-F13)/E13)</f>
        <v/>
      </c>
    </row>
    <row r="14">
      <c r="A14" s="10" t="n">
        <v>11</v>
      </c>
      <c r="B14" s="8" t="inlineStr">
        <is>
          <t>Dashboard (เรียลไทม์)</t>
        </is>
      </c>
      <c r="C14" s="8" t="inlineStr">
        <is>
          <t>—</t>
        </is>
      </c>
      <c r="D14" s="8" t="inlineStr">
        <is>
          <t>log + รูปขึ้นหน้าจอทันที</t>
        </is>
      </c>
      <c r="E14" s="9" t="n"/>
      <c r="F14" s="9" t="n"/>
      <c r="G14" s="10">
        <f>IF(E14="","",E14-F14)</f>
        <v/>
      </c>
      <c r="H14" s="11">
        <f>IF(OR(E14="",E14=0),"",(E14-F14)/E14)</f>
        <v/>
      </c>
    </row>
    <row r="15">
      <c r="A15" s="13" t="inlineStr">
        <is>
          <t>รวม</t>
        </is>
      </c>
      <c r="B15" s="14" t="n"/>
      <c r="C15" s="14" t="n"/>
      <c r="D15" s="14" t="n"/>
      <c r="E15" s="13">
        <f>SUM(E4:E14)</f>
        <v/>
      </c>
      <c r="F15" s="13">
        <f>SUM(F4:F14)</f>
        <v/>
      </c>
      <c r="G15" s="13">
        <f>SUM(G4:G14)</f>
        <v/>
      </c>
      <c r="H15" s="15">
        <f>IF(SUM(E4:E14)=0,"",SUM(G4:G14)/SUM(E4:E14))</f>
        <v/>
      </c>
    </row>
  </sheetData>
  <mergeCells count="2">
    <mergeCell ref="A15:D15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30" customWidth="1" min="4" max="4"/>
    <col width="13" customWidth="1" min="5" max="5"/>
    <col width="9" customWidth="1" min="6" max="6"/>
    <col width="9" customWidth="1" min="7" max="7"/>
    <col width="10" customWidth="1" min="8" max="8"/>
  </cols>
  <sheetData>
    <row r="1">
      <c r="A1" s="12" t="inlineStr">
        <is>
          <t>กรณีที่ 2 : ฝั่งขาเข้า (Entry) — บัตรไม่ผ่าน (denied)</t>
        </is>
      </c>
    </row>
    <row r="3">
      <c r="A3" s="7" t="inlineStr">
        <is>
          <t>ลำดับ</t>
        </is>
      </c>
      <c r="B3" s="7" t="inlineStr">
        <is>
          <t>อุปกรณ์</t>
        </is>
      </c>
      <c r="C3" s="7" t="inlineStr">
        <is>
          <t>Input</t>
        </is>
      </c>
      <c r="D3" s="7" t="inlineStr">
        <is>
          <t>Output ที่คาดหวัง</t>
        </is>
      </c>
      <c r="E3" s="7" t="inlineStr">
        <is>
          <t>ครั้งทดสอบ (N)</t>
        </is>
      </c>
      <c r="F3" s="7" t="inlineStr">
        <is>
          <t>สำเร็จ</t>
        </is>
      </c>
      <c r="G3" s="7" t="inlineStr">
        <is>
          <t>ผิดพลาด</t>
        </is>
      </c>
      <c r="H3" s="7" t="inlineStr">
        <is>
          <t>Err %</t>
        </is>
      </c>
    </row>
    <row r="4">
      <c r="A4" s="10" t="n">
        <v>1</v>
      </c>
      <c r="B4" s="8" t="inlineStr">
        <is>
          <t>RFID RC522 #1 (เข้า)</t>
        </is>
      </c>
      <c r="C4" s="8" t="inlineStr">
        <is>
          <t>ทาบบัตรแปลก/ปิดใช้งาน</t>
        </is>
      </c>
      <c r="D4" s="8" t="inlineStr">
        <is>
          <t>อ่าน UID → ส่ง direction:in</t>
        </is>
      </c>
      <c r="E4" s="9" t="n"/>
      <c r="F4" s="9" t="n"/>
      <c r="G4" s="10">
        <f>IF(E4="","",E4-F4)</f>
        <v/>
      </c>
      <c r="H4" s="11">
        <f>IF(OR(E4="",E4=0),"",(E4-F4)/E4)</f>
        <v/>
      </c>
    </row>
    <row r="5">
      <c r="A5" s="10" t="n">
        <v>2</v>
      </c>
      <c r="B5" s="8" t="inlineStr">
        <is>
          <t>Backend /access</t>
        </is>
      </c>
      <c r="C5" s="8" t="inlineStr">
        <is>
          <t>รับ JSON {uid, in}</t>
        </is>
      </c>
      <c r="D5" s="8" t="inlineStr">
        <is>
          <t>ตอบ denied</t>
        </is>
      </c>
      <c r="E5" s="9" t="n"/>
      <c r="F5" s="9" t="n"/>
      <c r="G5" s="10">
        <f>IF(E5="","",E5-F5)</f>
        <v/>
      </c>
      <c r="H5" s="11">
        <f>IF(OR(E5="",E5=0),"",(E5-F5)/E5)</f>
        <v/>
      </c>
    </row>
    <row r="6">
      <c r="A6" s="10" t="n">
        <v>3</v>
      </c>
      <c r="B6" s="8" t="inlineStr">
        <is>
          <t>ESP32-CAM (/capture)</t>
        </is>
      </c>
      <c r="C6" s="8" t="inlineStr">
        <is>
          <t>backend ดึงรูป</t>
        </is>
      </c>
      <c r="D6" s="8" t="inlineStr">
        <is>
          <t>คืน JPEG เก็บเป็นหลักฐาน</t>
        </is>
      </c>
      <c r="E6" s="9" t="n"/>
      <c r="F6" s="9" t="n"/>
      <c r="G6" s="10">
        <f>IF(E6="","",E6-F6)</f>
        <v/>
      </c>
      <c r="H6" s="11">
        <f>IF(OR(E6="",E6=0),"",(E6-F6)/E6)</f>
        <v/>
      </c>
    </row>
    <row r="7">
      <c r="A7" s="10" t="n">
        <v>4</v>
      </c>
      <c r="B7" s="8" t="inlineStr">
        <is>
          <t>OLED SH1106</t>
        </is>
      </c>
      <c r="C7" s="8" t="inlineStr">
        <is>
          <t>—</t>
        </is>
      </c>
      <c r="D7" s="8" t="inlineStr">
        <is>
          <t>แสดงข้อความ "ไม่อนุญาต"</t>
        </is>
      </c>
      <c r="E7" s="9" t="n"/>
      <c r="F7" s="9" t="n"/>
      <c r="G7" s="10">
        <f>IF(E7="","",E7-F7)</f>
        <v/>
      </c>
      <c r="H7" s="11">
        <f>IF(OR(E7="",E7=0),"",(E7-F7)/E7)</f>
        <v/>
      </c>
    </row>
    <row r="8">
      <c r="A8" s="10" t="n">
        <v>5</v>
      </c>
      <c r="B8" s="8" t="inlineStr">
        <is>
          <t>Buzzer</t>
        </is>
      </c>
      <c r="C8" s="8" t="inlineStr">
        <is>
          <t>—</t>
        </is>
      </c>
      <c r="D8" s="8" t="inlineStr">
        <is>
          <t>เสียงยาว 3 วินาที</t>
        </is>
      </c>
      <c r="E8" s="9" t="n"/>
      <c r="F8" s="9" t="n"/>
      <c r="G8" s="10">
        <f>IF(E8="","",E8-F8)</f>
        <v/>
      </c>
      <c r="H8" s="11">
        <f>IF(OR(E8="",E8=0),"",(E8-F8)/E8)</f>
        <v/>
      </c>
    </row>
    <row r="9">
      <c r="A9" s="10" t="n">
        <v>6</v>
      </c>
      <c r="B9" s="8" t="inlineStr">
        <is>
          <t>Relay + Solenoid Lock</t>
        </is>
      </c>
      <c r="C9" s="8" t="inlineStr">
        <is>
          <t>—</t>
        </is>
      </c>
      <c r="D9" s="8" t="inlineStr">
        <is>
          <t>คงสถานะล็อก (ประตูไม่เปิด)</t>
        </is>
      </c>
      <c r="E9" s="9" t="n"/>
      <c r="F9" s="9" t="n"/>
      <c r="G9" s="10">
        <f>IF(E9="","",E9-F9)</f>
        <v/>
      </c>
      <c r="H9" s="11">
        <f>IF(OR(E9="",E9=0),"",(E9-F9)/E9)</f>
        <v/>
      </c>
    </row>
    <row r="10">
      <c r="A10" s="10" t="n">
        <v>7</v>
      </c>
      <c r="B10" s="8" t="inlineStr">
        <is>
          <t>Dashboard (เรียลไทม์)</t>
        </is>
      </c>
      <c r="C10" s="8" t="inlineStr">
        <is>
          <t>—</t>
        </is>
      </c>
      <c r="D10" s="8" t="inlineStr">
        <is>
          <t>log สถานะ denied + รูปหลักฐาน</t>
        </is>
      </c>
      <c r="E10" s="9" t="n"/>
      <c r="F10" s="9" t="n"/>
      <c r="G10" s="10">
        <f>IF(E10="","",E10-F10)</f>
        <v/>
      </c>
      <c r="H10" s="11">
        <f>IF(OR(E10="",E10=0),"",(E10-F10)/E10)</f>
        <v/>
      </c>
    </row>
    <row r="11">
      <c r="A11" s="13" t="inlineStr">
        <is>
          <t>รวม</t>
        </is>
      </c>
      <c r="B11" s="14" t="n"/>
      <c r="C11" s="14" t="n"/>
      <c r="D11" s="14" t="n"/>
      <c r="E11" s="13">
        <f>SUM(E4:E10)</f>
        <v/>
      </c>
      <c r="F11" s="13">
        <f>SUM(F4:F10)</f>
        <v/>
      </c>
      <c r="G11" s="13">
        <f>SUM(G4:G10)</f>
        <v/>
      </c>
      <c r="H11" s="15">
        <f>IF(SUM(E4:E10)=0,"",SUM(G4:G10)/SUM(E4:E10))</f>
        <v/>
      </c>
    </row>
  </sheetData>
  <mergeCells count="2">
    <mergeCell ref="A11:D11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30" customWidth="1" min="4" max="4"/>
    <col width="13" customWidth="1" min="5" max="5"/>
    <col width="9" customWidth="1" min="6" max="6"/>
    <col width="9" customWidth="1" min="7" max="7"/>
    <col width="10" customWidth="1" min="8" max="8"/>
  </cols>
  <sheetData>
    <row r="1">
      <c r="A1" s="12" t="inlineStr">
        <is>
          <t>กรณีที่ 3 : ฝั่งขาออก (Exit) — บัตรผ่าน (granted)</t>
        </is>
      </c>
    </row>
    <row r="3">
      <c r="A3" s="7" t="inlineStr">
        <is>
          <t>ลำดับ</t>
        </is>
      </c>
      <c r="B3" s="7" t="inlineStr">
        <is>
          <t>อุปกรณ์</t>
        </is>
      </c>
      <c r="C3" s="7" t="inlineStr">
        <is>
          <t>Input</t>
        </is>
      </c>
      <c r="D3" s="7" t="inlineStr">
        <is>
          <t>Output ที่คาดหวัง</t>
        </is>
      </c>
      <c r="E3" s="7" t="inlineStr">
        <is>
          <t>ครั้งทดสอบ (N)</t>
        </is>
      </c>
      <c r="F3" s="7" t="inlineStr">
        <is>
          <t>สำเร็จ</t>
        </is>
      </c>
      <c r="G3" s="7" t="inlineStr">
        <is>
          <t>ผิดพลาด</t>
        </is>
      </c>
      <c r="H3" s="7" t="inlineStr">
        <is>
          <t>Err %</t>
        </is>
      </c>
    </row>
    <row r="4">
      <c r="A4" s="10" t="n">
        <v>1</v>
      </c>
      <c r="B4" s="8" t="inlineStr">
        <is>
          <t>RFID RC522 #2 (ออก)</t>
        </is>
      </c>
      <c r="C4" s="8" t="inlineStr">
        <is>
          <t>ทาบบัตรที่ลงทะเบียน</t>
        </is>
      </c>
      <c r="D4" s="8" t="inlineStr">
        <is>
          <t>อ่าน UID → direction:out (ไม่ถ่ายรูป)</t>
        </is>
      </c>
      <c r="E4" s="9" t="n"/>
      <c r="F4" s="9" t="n"/>
      <c r="G4" s="10">
        <f>IF(E4="","",E4-F4)</f>
        <v/>
      </c>
      <c r="H4" s="11">
        <f>IF(OR(E4="",E4=0),"",(E4-F4)/E4)</f>
        <v/>
      </c>
    </row>
    <row r="5">
      <c r="A5" s="10" t="n">
        <v>2</v>
      </c>
      <c r="B5" s="8" t="inlineStr">
        <is>
          <t>Backend /access</t>
        </is>
      </c>
      <c r="C5" s="8" t="inlineStr">
        <is>
          <t>รับ JSON {uid, out}</t>
        </is>
      </c>
      <c r="D5" s="8" t="inlineStr">
        <is>
          <t>ตอบ granted (ไม่ดึงรูป)</t>
        </is>
      </c>
      <c r="E5" s="9" t="n"/>
      <c r="F5" s="9" t="n"/>
      <c r="G5" s="10">
        <f>IF(E5="","",E5-F5)</f>
        <v/>
      </c>
      <c r="H5" s="11">
        <f>IF(OR(E5="",E5=0),"",(E5-F5)/E5)</f>
        <v/>
      </c>
    </row>
    <row r="6">
      <c r="A6" s="10" t="n">
        <v>3</v>
      </c>
      <c r="B6" s="8" t="inlineStr">
        <is>
          <t>Buzzer</t>
        </is>
      </c>
      <c r="C6" s="8" t="inlineStr">
        <is>
          <t>—</t>
        </is>
      </c>
      <c r="D6" s="8" t="inlineStr">
        <is>
          <t>เสียงสั้น 1 ครั้ง</t>
        </is>
      </c>
      <c r="E6" s="9" t="n"/>
      <c r="F6" s="9" t="n"/>
      <c r="G6" s="10">
        <f>IF(E6="","",E6-F6)</f>
        <v/>
      </c>
      <c r="H6" s="11">
        <f>IF(OR(E6="",E6=0),"",(E6-F6)/E6)</f>
        <v/>
      </c>
    </row>
    <row r="7">
      <c r="A7" s="10" t="n">
        <v>4</v>
      </c>
      <c r="B7" s="8" t="inlineStr">
        <is>
          <t>Relay + Solenoid Lock</t>
        </is>
      </c>
      <c r="C7" s="8" t="inlineStr">
        <is>
          <t>—</t>
        </is>
      </c>
      <c r="D7" s="8" t="inlineStr">
        <is>
          <t>ปลดล็อก 5 วินาที → ล็อกกลับ</t>
        </is>
      </c>
      <c r="E7" s="9" t="n"/>
      <c r="F7" s="9" t="n"/>
      <c r="G7" s="10">
        <f>IF(E7="","",E7-F7)</f>
        <v/>
      </c>
      <c r="H7" s="11">
        <f>IF(OR(E7="",E7=0),"",(E7-F7)/E7)</f>
        <v/>
      </c>
    </row>
    <row r="8">
      <c r="A8" s="10" t="n">
        <v>5</v>
      </c>
      <c r="B8" s="8" t="inlineStr">
        <is>
          <t>Dashboard (เรียลไทม์)</t>
        </is>
      </c>
      <c r="C8" s="8" t="inlineStr">
        <is>
          <t>—</t>
        </is>
      </c>
      <c r="D8" s="8" t="inlineStr">
        <is>
          <t>log direction:out, imageUrl = null</t>
        </is>
      </c>
      <c r="E8" s="9" t="n"/>
      <c r="F8" s="9" t="n"/>
      <c r="G8" s="10">
        <f>IF(E8="","",E8-F8)</f>
        <v/>
      </c>
      <c r="H8" s="11">
        <f>IF(OR(E8="",E8=0),"",(E8-F8)/E8)</f>
        <v/>
      </c>
    </row>
    <row r="9">
      <c r="A9" s="13" t="inlineStr">
        <is>
          <t>รวม</t>
        </is>
      </c>
      <c r="B9" s="14" t="n"/>
      <c r="C9" s="14" t="n"/>
      <c r="D9" s="14" t="n"/>
      <c r="E9" s="13">
        <f>SUM(E4:E8)</f>
        <v/>
      </c>
      <c r="F9" s="13">
        <f>SUM(F4:F8)</f>
        <v/>
      </c>
      <c r="G9" s="13">
        <f>SUM(G4:G8)</f>
        <v/>
      </c>
      <c r="H9" s="15">
        <f>IF(SUM(E4:E8)=0,"",SUM(G4:G8)/SUM(E4:E8))</f>
        <v/>
      </c>
    </row>
  </sheetData>
  <mergeCells count="2">
    <mergeCell ref="A9:D9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22" customWidth="1" min="3" max="3"/>
    <col width="30" customWidth="1" min="4" max="4"/>
    <col width="13" customWidth="1" min="5" max="5"/>
    <col width="9" customWidth="1" min="6" max="6"/>
    <col width="9" customWidth="1" min="7" max="7"/>
    <col width="10" customWidth="1" min="8" max="8"/>
  </cols>
  <sheetData>
    <row r="1">
      <c r="A1" s="12" t="inlineStr">
        <is>
          <t>กรณีที่ 4 : ฝั่งขาออก (Exit) — บัตรไม่ผ่าน (denied)</t>
        </is>
      </c>
    </row>
    <row r="3">
      <c r="A3" s="7" t="inlineStr">
        <is>
          <t>ลำดับ</t>
        </is>
      </c>
      <c r="B3" s="7" t="inlineStr">
        <is>
          <t>อุปกรณ์</t>
        </is>
      </c>
      <c r="C3" s="7" t="inlineStr">
        <is>
          <t>Input</t>
        </is>
      </c>
      <c r="D3" s="7" t="inlineStr">
        <is>
          <t>Output ที่คาดหวัง</t>
        </is>
      </c>
      <c r="E3" s="7" t="inlineStr">
        <is>
          <t>ครั้งทดสอบ (N)</t>
        </is>
      </c>
      <c r="F3" s="7" t="inlineStr">
        <is>
          <t>สำเร็จ</t>
        </is>
      </c>
      <c r="G3" s="7" t="inlineStr">
        <is>
          <t>ผิดพลาด</t>
        </is>
      </c>
      <c r="H3" s="7" t="inlineStr">
        <is>
          <t>Err %</t>
        </is>
      </c>
    </row>
    <row r="4">
      <c r="A4" s="10" t="n">
        <v>1</v>
      </c>
      <c r="B4" s="8" t="inlineStr">
        <is>
          <t>RFID RC522 #2 (ออก)</t>
        </is>
      </c>
      <c r="C4" s="8" t="inlineStr">
        <is>
          <t>ทาบบัตรแปลก/ปิดใช้งาน</t>
        </is>
      </c>
      <c r="D4" s="8" t="inlineStr">
        <is>
          <t>อ่าน UID → ส่ง direction:out</t>
        </is>
      </c>
      <c r="E4" s="9" t="n"/>
      <c r="F4" s="9" t="n"/>
      <c r="G4" s="10">
        <f>IF(E4="","",E4-F4)</f>
        <v/>
      </c>
      <c r="H4" s="11">
        <f>IF(OR(E4="",E4=0),"",(E4-F4)/E4)</f>
        <v/>
      </c>
    </row>
    <row r="5">
      <c r="A5" s="10" t="n">
        <v>2</v>
      </c>
      <c r="B5" s="8" t="inlineStr">
        <is>
          <t>Backend /access</t>
        </is>
      </c>
      <c r="C5" s="8" t="inlineStr">
        <is>
          <t>รับ JSON {uid, out}</t>
        </is>
      </c>
      <c r="D5" s="8" t="inlineStr">
        <is>
          <t>ตอบ denied + เก็บ log</t>
        </is>
      </c>
      <c r="E5" s="9" t="n"/>
      <c r="F5" s="9" t="n"/>
      <c r="G5" s="10">
        <f>IF(E5="","",E5-F5)</f>
        <v/>
      </c>
      <c r="H5" s="11">
        <f>IF(OR(E5="",E5=0),"",(E5-F5)/E5)</f>
        <v/>
      </c>
    </row>
    <row r="6">
      <c r="A6" s="10" t="n">
        <v>3</v>
      </c>
      <c r="B6" s="8" t="inlineStr">
        <is>
          <t>Buzzer</t>
        </is>
      </c>
      <c r="C6" s="8" t="inlineStr">
        <is>
          <t>—</t>
        </is>
      </c>
      <c r="D6" s="8" t="inlineStr">
        <is>
          <t>เสียงยาว</t>
        </is>
      </c>
      <c r="E6" s="9" t="n"/>
      <c r="F6" s="9" t="n"/>
      <c r="G6" s="10">
        <f>IF(E6="","",E6-F6)</f>
        <v/>
      </c>
      <c r="H6" s="11">
        <f>IF(OR(E6="",E6=0),"",(E6-F6)/E6)</f>
        <v/>
      </c>
    </row>
    <row r="7">
      <c r="A7" s="10" t="n">
        <v>4</v>
      </c>
      <c r="B7" s="8" t="inlineStr">
        <is>
          <t>Relay + Solenoid Lock</t>
        </is>
      </c>
      <c r="C7" s="8" t="inlineStr">
        <is>
          <t>—</t>
        </is>
      </c>
      <c r="D7" s="8" t="inlineStr">
        <is>
          <t>คงสถานะล็อก</t>
        </is>
      </c>
      <c r="E7" s="9" t="n"/>
      <c r="F7" s="9" t="n"/>
      <c r="G7" s="10">
        <f>IF(E7="","",E7-F7)</f>
        <v/>
      </c>
      <c r="H7" s="11">
        <f>IF(OR(E7="",E7=0),"",(E7-F7)/E7)</f>
        <v/>
      </c>
    </row>
    <row r="8">
      <c r="A8" s="10" t="n">
        <v>5</v>
      </c>
      <c r="B8" s="8" t="inlineStr">
        <is>
          <t>Dashboard (เรียลไทม์)</t>
        </is>
      </c>
      <c r="C8" s="8" t="inlineStr">
        <is>
          <t>—</t>
        </is>
      </c>
      <c r="D8" s="8" t="inlineStr">
        <is>
          <t>log สถานะ denied, out</t>
        </is>
      </c>
      <c r="E8" s="9" t="n"/>
      <c r="F8" s="9" t="n"/>
      <c r="G8" s="10">
        <f>IF(E8="","",E8-F8)</f>
        <v/>
      </c>
      <c r="H8" s="11">
        <f>IF(OR(E8="",E8=0),"",(E8-F8)/E8)</f>
        <v/>
      </c>
    </row>
    <row r="9">
      <c r="A9" s="13" t="inlineStr">
        <is>
          <t>รวม</t>
        </is>
      </c>
      <c r="B9" s="14" t="n"/>
      <c r="C9" s="14" t="n"/>
      <c r="D9" s="14" t="n"/>
      <c r="E9" s="13">
        <f>SUM(E4:E8)</f>
        <v/>
      </c>
      <c r="F9" s="13">
        <f>SUM(F4:F8)</f>
        <v/>
      </c>
      <c r="G9" s="13">
        <f>SUM(G4:G8)</f>
        <v/>
      </c>
      <c r="H9" s="15">
        <f>IF(SUM(E4:E8)=0,"",SUM(G4:G8)/SUM(E4:E8))</f>
        <v/>
      </c>
    </row>
  </sheetData>
  <mergeCells count="2">
    <mergeCell ref="A9:D9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4" customWidth="1" min="4" max="4"/>
    <col width="12" customWidth="1" min="5" max="5"/>
    <col width="12" customWidth="1" min="6" max="6"/>
  </cols>
  <sheetData>
    <row r="1">
      <c r="A1" s="1" t="inlineStr">
        <is>
          <t>สรุปผลการทดลอง 4 กรณี</t>
        </is>
      </c>
    </row>
    <row r="3">
      <c r="A3" s="7" t="inlineStr">
        <is>
          <t>กรณี</t>
        </is>
      </c>
      <c r="B3" s="7" t="inlineStr">
        <is>
          <t>ทิศทาง</t>
        </is>
      </c>
      <c r="C3" s="7" t="inlineStr">
        <is>
          <t>ผลบัตร</t>
        </is>
      </c>
      <c r="D3" s="7" t="inlineStr">
        <is>
          <t>ผลลัพธ์ที่ต้องได้</t>
        </is>
      </c>
      <c r="E3" s="7" t="inlineStr">
        <is>
          <t>ครั้งทดสอบ</t>
        </is>
      </c>
      <c r="F3" s="7" t="inlineStr">
        <is>
          <t>Err % รวม</t>
        </is>
      </c>
    </row>
    <row r="4">
      <c r="A4" s="10" t="n">
        <v>1</v>
      </c>
      <c r="B4" s="10" t="inlineStr">
        <is>
          <t>ขาเข้า</t>
        </is>
      </c>
      <c r="C4" s="10" t="inlineStr">
        <is>
          <t>ผ่าน</t>
        </is>
      </c>
      <c r="D4" s="8" t="inlineStr">
        <is>
          <t>ประตูเปิด + บันทึกรูป</t>
        </is>
      </c>
      <c r="E4" s="10">
        <f>'1_ขาเข้า-บัตรผ่าน'!E15</f>
        <v/>
      </c>
      <c r="F4" s="11">
        <f>'1_ขาเข้า-บัตรผ่าน'!H15</f>
        <v/>
      </c>
    </row>
    <row r="5">
      <c r="A5" s="10" t="n">
        <v>2</v>
      </c>
      <c r="B5" s="10" t="inlineStr">
        <is>
          <t>ขาเข้า</t>
        </is>
      </c>
      <c r="C5" s="10" t="inlineStr">
        <is>
          <t>ไม่ผ่าน</t>
        </is>
      </c>
      <c r="D5" s="8" t="inlineStr">
        <is>
          <t>ประตูล็อก + เก็บรูปหลักฐาน</t>
        </is>
      </c>
      <c r="E5" s="10">
        <f>'2_ขาเข้า-บัตรไม่ผ่าน'!E11</f>
        <v/>
      </c>
      <c r="F5" s="11">
        <f>'2_ขาเข้า-บัตรไม่ผ่าน'!H11</f>
        <v/>
      </c>
    </row>
    <row r="6">
      <c r="A6" s="10" t="n">
        <v>3</v>
      </c>
      <c r="B6" s="10" t="inlineStr">
        <is>
          <t>ขาออก</t>
        </is>
      </c>
      <c r="C6" s="10" t="inlineStr">
        <is>
          <t>ผ่าน</t>
        </is>
      </c>
      <c r="D6" s="8" t="inlineStr">
        <is>
          <t>ประตูเปิด (ไม่มีรูป)</t>
        </is>
      </c>
      <c r="E6" s="10">
        <f>'3_ขาออก-บัตรผ่าน'!E9</f>
        <v/>
      </c>
      <c r="F6" s="11">
        <f>'3_ขาออก-บัตรผ่าน'!H9</f>
        <v/>
      </c>
    </row>
    <row r="7">
      <c r="A7" s="10" t="n">
        <v>4</v>
      </c>
      <c r="B7" s="10" t="inlineStr">
        <is>
          <t>ขาออก</t>
        </is>
      </c>
      <c r="C7" s="10" t="inlineStr">
        <is>
          <t>ไม่ผ่าน</t>
        </is>
      </c>
      <c r="D7" s="8" t="inlineStr">
        <is>
          <t>ประตูล็อก</t>
        </is>
      </c>
      <c r="E7" s="10">
        <f>'4_ขาออก-บัตรไม่ผ่าน'!E9</f>
        <v/>
      </c>
      <c r="F7" s="11">
        <f>'4_ขาออก-บัตรไม่ผ่าน'!H9</f>
        <v/>
      </c>
    </row>
    <row r="8">
      <c r="A8" s="13" t="inlineStr">
        <is>
          <t>รวมทั้งหมด</t>
        </is>
      </c>
      <c r="B8" s="14" t="n"/>
      <c r="C8" s="14" t="n"/>
      <c r="D8" s="14" t="n"/>
      <c r="E8" s="13">
        <f>SUM(E4:E7)</f>
        <v/>
      </c>
      <c r="F8" s="15">
        <f>IF(('1_ขาเข้า-บัตรผ่าน'!E15+'2_ขาเข้า-บัตรไม่ผ่าน'!E11+'3_ขาออก-บัตรผ่าน'!E9+'4_ขาออก-บัตรไม่ผ่าน'!E9)=0,"",('1_ขาเข้า-บัตรผ่าน'!G15+'2_ขาเข้า-บัตรไม่ผ่าน'!G11+'3_ขาออก-บัตรผ่าน'!G9+'4_ขาออก-บัตรไม่ผ่าน'!G9)/('1_ขาเข้า-บัตรผ่าน'!E15+'2_ขาเข้า-บัตรไม่ผ่าน'!E11+'3_ขาออก-บัตรผ่าน'!E9+'4_ขาออก-บัตรไม่ผ่าน'!E9))</f>
        <v/>
      </c>
    </row>
    <row r="10">
      <c r="A10" s="16" t="inlineStr">
        <is>
          <t>หมายเหตุ: Err % รวม = ผลรวมจำนวนครั้งที่ผิดพลาดทุกขั้น ÷ ผลรวมจำนวนครั้งที่ทดสอบทั้งหมด × 100</t>
        </is>
      </c>
    </row>
  </sheetData>
  <mergeCells count="3">
    <mergeCell ref="A1:F1"/>
    <mergeCell ref="A8:D8"/>
    <mergeCell ref="A10:F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2026-08-04T12:43:15Z</dcterms:created>
  <dcterms:modified xsi:type="dcterms:W3CDTF">2026-08-04T12:43:15Z</dcterms:modified>
</cp:coreProperties>
</file>