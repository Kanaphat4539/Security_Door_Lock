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E\ProjectY3IoT\Security_Door_Lock\"/>
    </mc:Choice>
  </mc:AlternateContent>
  <xr:revisionPtr revIDLastSave="0" documentId="13_ncr:1_{711B9D7B-E2C0-4B82-A538-F6273E8FFACC}" xr6:coauthVersionLast="47" xr6:coauthVersionMax="47" xr10:uidLastSave="{00000000-0000-0000-0000-000000000000}"/>
  <bookViews>
    <workbookView xWindow="384" yWindow="384" windowWidth="17280" windowHeight="8880" activeTab="1" xr2:uid="{00000000-000D-0000-FFFF-FFFF00000000}"/>
  </bookViews>
  <sheets>
    <sheet name="คำอธิบาย" sheetId="1" r:id="rId1"/>
    <sheet name="1_ขาเข้า-บัตรผ่าน" sheetId="2" r:id="rId2"/>
    <sheet name="2_ขาเข้า-บัตรไม่ผ่าน" sheetId="3" r:id="rId3"/>
    <sheet name="3_ขาออก-บัตรผ่าน" sheetId="4" r:id="rId4"/>
    <sheet name="4_ขาออก-บัตรไม่ผ่าน" sheetId="5" r:id="rId5"/>
    <sheet name="สรุปผล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5" l="1"/>
  <c r="F7" i="6" s="1"/>
  <c r="F9" i="5"/>
  <c r="E9" i="5"/>
  <c r="E7" i="6" s="1"/>
  <c r="H8" i="5"/>
  <c r="G8" i="5"/>
  <c r="H7" i="5"/>
  <c r="G7" i="5"/>
  <c r="H6" i="5"/>
  <c r="G6" i="5"/>
  <c r="H5" i="5"/>
  <c r="G5" i="5"/>
  <c r="H4" i="5"/>
  <c r="G4" i="5"/>
  <c r="G9" i="5" s="1"/>
  <c r="H9" i="4"/>
  <c r="F6" i="6" s="1"/>
  <c r="F9" i="4"/>
  <c r="E9" i="4"/>
  <c r="E6" i="6" s="1"/>
  <c r="H8" i="4"/>
  <c r="G8" i="4"/>
  <c r="H7" i="4"/>
  <c r="G7" i="4"/>
  <c r="H6" i="4"/>
  <c r="G6" i="4"/>
  <c r="H5" i="4"/>
  <c r="G5" i="4"/>
  <c r="H4" i="4"/>
  <c r="G4" i="4"/>
  <c r="G9" i="4" s="1"/>
  <c r="H11" i="3"/>
  <c r="F5" i="6" s="1"/>
  <c r="F11" i="3"/>
  <c r="E11" i="3"/>
  <c r="E5" i="6" s="1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G11" i="3" s="1"/>
  <c r="H13" i="2"/>
  <c r="F4" i="6" s="1"/>
  <c r="F13" i="2"/>
  <c r="E13" i="2"/>
  <c r="F8" i="6" s="1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G13" i="2" s="1"/>
  <c r="F20" i="1"/>
  <c r="E20" i="1"/>
  <c r="C16" i="1"/>
  <c r="E4" i="6" l="1"/>
  <c r="E8" i="6" s="1"/>
</calcChain>
</file>

<file path=xl/sharedStrings.xml><?xml version="1.0" encoding="utf-8"?>
<sst xmlns="http://schemas.openxmlformats.org/spreadsheetml/2006/main" count="157" uniqueCount="86">
  <si>
    <t>ตารางผลการทดลองฮาร์ดแวร์ — ระบบล็อกประตูอัจฉริยะ RFID + กล้อง IoT</t>
  </si>
  <si>
    <t>วิธีคำนวณค่าความผิดพลาด (Err %)</t>
  </si>
  <si>
    <t>Err % = ( จำนวนครั้งที่ผิดพลาด  ÷  จำนวนครั้งที่ทดสอบทั้งหมด )  ×  100</t>
  </si>
  <si>
    <t>โดย   จำนวนครั้งที่ผิดพลาด  =  จำนวนครั้งที่ทดสอบทั้งหมด (N)  −  จำนวนครั้งที่สำเร็จ</t>
  </si>
  <si>
    <t>ตัวอย่าง : ทดสอบ 10 ครั้ง สำเร็จ 9 ครั้ง  →  ผิดพลาด = 10 − 9 = 1  →  Err % = 1/10 × 100 = 10.0%</t>
  </si>
  <si>
    <t>• กรอกเฉพาะช่องสีเหลือง 2 ช่อง คือ  "ครั้งทดสอบ (N)"  และ  "สำเร็จ"</t>
  </si>
  <si>
    <t>• ช่อง "ผิดพลาด" และ "Err %" คำนวณให้อัตโนมัติด้วยสูตร (ห้ามพิมพ์ทับ)</t>
  </si>
  <si>
    <t>• แนะนำทดสอบอย่างน้อย 10 ครั้ง/แถว (RFID และ End-to-end แนะนำ 20–30 ครั้ง) เพื่อให้ % น่าเชื่อถือ</t>
  </si>
  <si>
    <t>• แถวรวมท้ายตาราง = ผลรวมทุกขั้นของกรณีนั้น  (Err% รวม = Σผิดพลาด ÷ ΣN)</t>
  </si>
  <si>
    <t>สัญลักษณ์สี</t>
  </si>
  <si>
    <t>ช่องกรอกเอง (input)</t>
  </si>
  <si>
    <t>ตัวอย่างการกรอก (แถวสาธิต — ไม่ใช่ข้อมูลจริง)</t>
  </si>
  <si>
    <t>อุปกรณ์</t>
  </si>
  <si>
    <t>ครั้งทดสอบ (N)</t>
  </si>
  <si>
    <t>สำเร็จ</t>
  </si>
  <si>
    <t>ผิดพลาด</t>
  </si>
  <si>
    <t>Err %</t>
  </si>
  <si>
    <t>RFID #1 (สาธิต)</t>
  </si>
  <si>
    <t>กรณีที่ 1 : ฝั่งขาเข้า (Entry) — บัตรผ่าน (granted)</t>
  </si>
  <si>
    <t>ลำดับ</t>
  </si>
  <si>
    <t>Input</t>
  </si>
  <si>
    <t>Output ที่คาดหวัง</t>
  </si>
  <si>
    <t>Ultrasonic HY-SRF05</t>
  </si>
  <si>
    <t>WAKE → สั่งกล้องเปิด</t>
  </si>
  <si>
    <t>ESP32-CAM (จอ TFT)</t>
  </si>
  <si>
    <t>คำสั่ง WAKE</t>
  </si>
  <si>
    <t>เปิดจอ ST7735S + สตรีมภาพสด</t>
  </si>
  <si>
    <t>RFID RC522 #1 (เข้า)</t>
  </si>
  <si>
    <t>ทาบบัตรที่ลงทะเบียน</t>
  </si>
  <si>
    <t>อ่าน UID ถูกต้อง → ส่ง direction:in</t>
  </si>
  <si>
    <t>Backend /access</t>
  </si>
  <si>
    <t>รับ JSON {uid, in}</t>
  </si>
  <si>
    <t>ตอบ granted</t>
  </si>
  <si>
    <t>ESP32-CAM (/capture)</t>
  </si>
  <si>
    <t>backend ดึงรูป</t>
  </si>
  <si>
    <t>คืนไฟล์ JPEG ไม่เสีย</t>
  </si>
  <si>
    <t>OLED SH1106</t>
  </si>
  <si>
    <t>—</t>
  </si>
  <si>
    <t>แสดงข้อความ "อนุญาต"</t>
  </si>
  <si>
    <t>Buzzer</t>
  </si>
  <si>
    <t>เสียงสั้น 0.2 วินาที</t>
  </si>
  <si>
    <t>Relay + Solenoid Lock</t>
  </si>
  <si>
    <t>ปลดล็อก 5 วินาที → ล็อกกลับ</t>
  </si>
  <si>
    <t>Dashboard (เรียลไทม์)</t>
  </si>
  <si>
    <t>log + รูปขึ้นหน้าจอทันที</t>
  </si>
  <si>
    <t>รวม</t>
  </si>
  <si>
    <t>กรณีที่ 2 : ฝั่งขาเข้า (Entry) — บัตรไม่ผ่าน (denied)</t>
  </si>
  <si>
    <t>ทาบบัตรแปลก/ปิดใช้งาน</t>
  </si>
  <si>
    <t>อ่าน UID → ส่ง direction:in</t>
  </si>
  <si>
    <t>ตอบ denied</t>
  </si>
  <si>
    <t>คืน JPEG เก็บเป็นหลักฐาน</t>
  </si>
  <si>
    <t>แสดงข้อความ "ไม่อนุญาต"</t>
  </si>
  <si>
    <t>เสียงยาว 3 วินาที</t>
  </si>
  <si>
    <t>คงสถานะล็อก (ประตูไม่เปิด)</t>
  </si>
  <si>
    <t>log สถานะ denied + รูปหลักฐาน</t>
  </si>
  <si>
    <t>กรณีที่ 3 : ฝั่งขาออก (Exit) — บัตรผ่าน (granted)</t>
  </si>
  <si>
    <t>RFID RC522 #2 (ออก)</t>
  </si>
  <si>
    <t>อ่าน UID → direction:out (ไม่ถ่ายรูป)</t>
  </si>
  <si>
    <t>รับ JSON {uid, out}</t>
  </si>
  <si>
    <t>ตอบ granted (ไม่ดึงรูป)</t>
  </si>
  <si>
    <t>เสียงสั้น 1 ครั้ง</t>
  </si>
  <si>
    <t>log direction:out, imageUrl = null</t>
  </si>
  <si>
    <t>กรณีที่ 4 : ฝั่งขาออก (Exit) — บัตรไม่ผ่าน (denied)</t>
  </si>
  <si>
    <t>อ่าน UID → ส่ง direction:out</t>
  </si>
  <si>
    <t>ตอบ denied + เก็บ log</t>
  </si>
  <si>
    <t>เสียงยาว</t>
  </si>
  <si>
    <t>คงสถานะล็อก</t>
  </si>
  <si>
    <t>log สถานะ denied, out</t>
  </si>
  <si>
    <t>สรุปผลการทดลอง 4 กรณี</t>
  </si>
  <si>
    <t>กรณี</t>
  </si>
  <si>
    <t>ทิศทาง</t>
  </si>
  <si>
    <t>ผลบัตร</t>
  </si>
  <si>
    <t>ผลลัพธ์ที่ต้องได้</t>
  </si>
  <si>
    <t>ครั้งทดสอบ</t>
  </si>
  <si>
    <t>Err % รวม</t>
  </si>
  <si>
    <t>ขาเข้า</t>
  </si>
  <si>
    <t>ผ่าน</t>
  </si>
  <si>
    <t>ประตูเปิด + บันทึกรูป</t>
  </si>
  <si>
    <t>ไม่ผ่าน</t>
  </si>
  <si>
    <t>ประตูล็อก + เก็บรูปหลักฐาน</t>
  </si>
  <si>
    <t>ขาออก</t>
  </si>
  <si>
    <t>ประตูเปิด (ไม่มีรูป)</t>
  </si>
  <si>
    <t>ประตูล็อก</t>
  </si>
  <si>
    <t>รวมทั้งหมด</t>
  </si>
  <si>
    <t>หมายเหตุ: Err % รวม = ผลรวมจำนวนครั้งที่ผิดพลาดทุกขั้น ÷ ผลรวมจำนวนครั้งที่ทดสอบทั้งหมด × 100</t>
  </si>
  <si>
    <t>เข้าใกล้ 100 cm (ระยะปลุกจอ)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</si>
</sst>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4"/>
      <color rgb="FF1F4E78"/>
      <name val="Tahoma"/>
    </font>
    <font>
      <b/>
      <sz val="12"/>
      <color rgb="FFC00000"/>
      <name val="Tahoma"/>
    </font>
    <font>
      <b/>
      <sz val="11"/>
      <color rgb="FF000000"/>
      <name val="Tahoma"/>
    </font>
    <font>
      <sz val="11"/>
      <color rgb="FF000000"/>
      <name val="Tahoma"/>
    </font>
    <font>
      <b/>
      <sz val="12"/>
      <color rgb="FF1F4E78"/>
      <name val="Tahoma"/>
    </font>
    <font>
      <b/>
      <sz val="10"/>
      <color rgb="FFFFFFFF"/>
      <name val="Tahoma"/>
    </font>
    <font>
      <sz val="10"/>
      <color rgb="FF000000"/>
      <name val="Tahoma"/>
    </font>
    <font>
      <b/>
      <sz val="13"/>
      <color rgb="FF1F4E78"/>
      <name val="Tahoma"/>
    </font>
    <font>
      <b/>
      <sz val="10"/>
      <color rgb="FF000000"/>
      <name val="Tahoma"/>
    </font>
    <font>
      <sz val="9"/>
      <color rgb="FF80808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2" borderId="1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8" fillId="0" borderId="0" xfId="0" applyFont="1" applyAlignment="1">
      <alignment horizontal="left" vertical="center"/>
    </xf>
    <xf numFmtId="0" fontId="0" fillId="0" borderId="0" xfId="0"/>
    <xf numFmtId="0" fontId="1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0"/>
  <sheetViews>
    <sheetView showGridLines="0" topLeftCell="A3" workbookViewId="0"/>
  </sheetViews>
  <sheetFormatPr defaultRowHeight="14.4" x14ac:dyDescent="0.3"/>
  <cols>
    <col min="1" max="1" width="3" customWidth="1"/>
    <col min="2" max="2" width="14" customWidth="1"/>
    <col min="3" max="5" width="16" customWidth="1"/>
    <col min="6" max="8" width="14" customWidth="1"/>
  </cols>
  <sheetData>
    <row r="2" spans="2:3" ht="17.399999999999999" x14ac:dyDescent="0.3">
      <c r="B2" s="1" t="s">
        <v>0</v>
      </c>
    </row>
    <row r="4" spans="2:3" ht="15.6" x14ac:dyDescent="0.3">
      <c r="B4" s="2" t="s">
        <v>1</v>
      </c>
    </row>
    <row r="5" spans="2:3" x14ac:dyDescent="0.3">
      <c r="B5" s="3" t="s">
        <v>2</v>
      </c>
    </row>
    <row r="6" spans="2:3" x14ac:dyDescent="0.3">
      <c r="B6" s="4" t="s">
        <v>3</v>
      </c>
    </row>
    <row r="7" spans="2:3" x14ac:dyDescent="0.3">
      <c r="B7" s="4"/>
    </row>
    <row r="8" spans="2:3" x14ac:dyDescent="0.3">
      <c r="B8" s="4" t="s">
        <v>4</v>
      </c>
    </row>
    <row r="9" spans="2:3" x14ac:dyDescent="0.3">
      <c r="B9" s="4"/>
    </row>
    <row r="10" spans="2:3" x14ac:dyDescent="0.3">
      <c r="B10" s="4" t="s">
        <v>5</v>
      </c>
    </row>
    <row r="11" spans="2:3" x14ac:dyDescent="0.3">
      <c r="B11" s="4" t="s">
        <v>6</v>
      </c>
    </row>
    <row r="12" spans="2:3" x14ac:dyDescent="0.3">
      <c r="B12" s="4" t="s">
        <v>7</v>
      </c>
    </row>
    <row r="13" spans="2:3" x14ac:dyDescent="0.3">
      <c r="B13" s="4" t="s">
        <v>8</v>
      </c>
    </row>
    <row r="15" spans="2:3" ht="15.6" x14ac:dyDescent="0.3">
      <c r="B15" s="5" t="s">
        <v>9</v>
      </c>
    </row>
    <row r="16" spans="2:3" x14ac:dyDescent="0.3">
      <c r="B16" s="6" t="s">
        <v>10</v>
      </c>
      <c r="C16" s="4" t="e">
        <f>ตัวเลขที่ต้องกรอกตอนทดสอบจริง</f>
        <v>#NAME?</v>
      </c>
    </row>
    <row r="18" spans="2:6" x14ac:dyDescent="0.3">
      <c r="B18" s="3" t="s">
        <v>11</v>
      </c>
    </row>
    <row r="19" spans="2:6" x14ac:dyDescent="0.3">
      <c r="B19" s="7" t="s">
        <v>12</v>
      </c>
      <c r="C19" s="7" t="s">
        <v>13</v>
      </c>
      <c r="D19" s="7" t="s">
        <v>14</v>
      </c>
      <c r="E19" s="7" t="s">
        <v>15</v>
      </c>
      <c r="F19" s="7" t="s">
        <v>16</v>
      </c>
    </row>
    <row r="20" spans="2:6" ht="26.4" x14ac:dyDescent="0.3">
      <c r="B20" s="8" t="s">
        <v>17</v>
      </c>
      <c r="C20" s="9">
        <v>10</v>
      </c>
      <c r="D20" s="9">
        <v>9</v>
      </c>
      <c r="E20" s="10">
        <f>C20-D20</f>
        <v>1</v>
      </c>
      <c r="F20" s="11">
        <f>IF(OR(C20="",C20=0),"",(C20-D20)/C20)</f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showGridLines="0" tabSelected="1" workbookViewId="0">
      <selection activeCell="I8" sqref="I8"/>
    </sheetView>
  </sheetViews>
  <sheetFormatPr defaultRowHeight="14.4" x14ac:dyDescent="0.3"/>
  <cols>
    <col min="1" max="1" width="7" customWidth="1"/>
    <col min="2" max="2" width="22" customWidth="1"/>
    <col min="3" max="3" width="30.33203125" customWidth="1"/>
    <col min="4" max="4" width="30" customWidth="1"/>
    <col min="5" max="5" width="13" customWidth="1"/>
    <col min="6" max="7" width="9" customWidth="1"/>
    <col min="8" max="8" width="10" customWidth="1"/>
  </cols>
  <sheetData>
    <row r="1" spans="1:8" ht="16.8" x14ac:dyDescent="0.3">
      <c r="A1" s="16" t="s">
        <v>18</v>
      </c>
      <c r="B1" s="17"/>
      <c r="C1" s="17"/>
      <c r="D1" s="17"/>
      <c r="E1" s="17"/>
      <c r="F1" s="17"/>
      <c r="G1" s="17"/>
      <c r="H1" s="17"/>
    </row>
    <row r="3" spans="1:8" ht="26.4" x14ac:dyDescent="0.3">
      <c r="A3" s="7" t="s">
        <v>19</v>
      </c>
      <c r="B3" s="7" t="s">
        <v>12</v>
      </c>
      <c r="C3" s="7" t="s">
        <v>20</v>
      </c>
      <c r="D3" s="7" t="s">
        <v>21</v>
      </c>
      <c r="E3" s="7" t="s">
        <v>13</v>
      </c>
      <c r="F3" s="7" t="s">
        <v>14</v>
      </c>
      <c r="G3" s="7" t="s">
        <v>15</v>
      </c>
      <c r="H3" s="7" t="s">
        <v>16</v>
      </c>
    </row>
    <row r="4" spans="1:8" ht="26.4" x14ac:dyDescent="0.3">
      <c r="A4" s="10">
        <v>1</v>
      </c>
      <c r="B4" s="8" t="s">
        <v>22</v>
      </c>
      <c r="C4" s="8" t="s">
        <v>85</v>
      </c>
      <c r="D4" s="8" t="s">
        <v>23</v>
      </c>
      <c r="E4" s="9"/>
      <c r="F4" s="9"/>
      <c r="G4" s="10" t="str">
        <f t="shared" ref="G4:G12" si="0">IF(E4="","",E4-F4)</f>
        <v/>
      </c>
      <c r="H4" s="11" t="str">
        <f t="shared" ref="H4:H12" si="1">IF(OR(E4="",E4=0),"",(E4-F4)/E4)</f>
        <v/>
      </c>
    </row>
    <row r="5" spans="1:8" x14ac:dyDescent="0.3">
      <c r="A5" s="10">
        <v>2</v>
      </c>
      <c r="B5" s="8" t="s">
        <v>24</v>
      </c>
      <c r="C5" s="8" t="s">
        <v>25</v>
      </c>
      <c r="D5" s="8" t="s">
        <v>26</v>
      </c>
      <c r="E5" s="9"/>
      <c r="F5" s="9"/>
      <c r="G5" s="10" t="str">
        <f t="shared" si="0"/>
        <v/>
      </c>
      <c r="H5" s="11" t="str">
        <f t="shared" si="1"/>
        <v/>
      </c>
    </row>
    <row r="6" spans="1:8" x14ac:dyDescent="0.3">
      <c r="A6" s="10">
        <v>3</v>
      </c>
      <c r="B6" s="8" t="s">
        <v>27</v>
      </c>
      <c r="C6" s="8" t="s">
        <v>28</v>
      </c>
      <c r="D6" s="8" t="s">
        <v>29</v>
      </c>
      <c r="E6" s="9"/>
      <c r="F6" s="9"/>
      <c r="G6" s="10" t="str">
        <f t="shared" si="0"/>
        <v/>
      </c>
      <c r="H6" s="11" t="str">
        <f t="shared" si="1"/>
        <v/>
      </c>
    </row>
    <row r="7" spans="1:8" x14ac:dyDescent="0.3">
      <c r="A7" s="10">
        <v>4</v>
      </c>
      <c r="B7" s="8" t="s">
        <v>30</v>
      </c>
      <c r="C7" s="8" t="s">
        <v>31</v>
      </c>
      <c r="D7" s="8" t="s">
        <v>32</v>
      </c>
      <c r="E7" s="9"/>
      <c r="F7" s="9"/>
      <c r="G7" s="10" t="str">
        <f t="shared" si="0"/>
        <v/>
      </c>
      <c r="H7" s="11" t="str">
        <f t="shared" si="1"/>
        <v/>
      </c>
    </row>
    <row r="8" spans="1:8" x14ac:dyDescent="0.3">
      <c r="A8" s="10">
        <v>5</v>
      </c>
      <c r="B8" s="8" t="s">
        <v>33</v>
      </c>
      <c r="C8" s="8" t="s">
        <v>34</v>
      </c>
      <c r="D8" s="8" t="s">
        <v>35</v>
      </c>
      <c r="E8" s="9"/>
      <c r="F8" s="9"/>
      <c r="G8" s="10" t="str">
        <f t="shared" si="0"/>
        <v/>
      </c>
      <c r="H8" s="11" t="str">
        <f t="shared" si="1"/>
        <v/>
      </c>
    </row>
    <row r="9" spans="1:8" x14ac:dyDescent="0.3">
      <c r="A9" s="10">
        <v>6</v>
      </c>
      <c r="B9" s="8" t="s">
        <v>36</v>
      </c>
      <c r="C9" s="8" t="s">
        <v>37</v>
      </c>
      <c r="D9" s="8" t="s">
        <v>38</v>
      </c>
      <c r="E9" s="9"/>
      <c r="F9" s="9"/>
      <c r="G9" s="10" t="str">
        <f t="shared" si="0"/>
        <v/>
      </c>
      <c r="H9" s="11" t="str">
        <f t="shared" si="1"/>
        <v/>
      </c>
    </row>
    <row r="10" spans="1:8" x14ac:dyDescent="0.3">
      <c r="A10" s="10">
        <v>7</v>
      </c>
      <c r="B10" s="8" t="s">
        <v>39</v>
      </c>
      <c r="C10" s="8" t="s">
        <v>37</v>
      </c>
      <c r="D10" s="8" t="s">
        <v>40</v>
      </c>
      <c r="E10" s="9"/>
      <c r="F10" s="9"/>
      <c r="G10" s="10" t="str">
        <f t="shared" si="0"/>
        <v/>
      </c>
      <c r="H10" s="11" t="str">
        <f t="shared" si="1"/>
        <v/>
      </c>
    </row>
    <row r="11" spans="1:8" x14ac:dyDescent="0.3">
      <c r="A11" s="10">
        <v>8</v>
      </c>
      <c r="B11" s="8" t="s">
        <v>41</v>
      </c>
      <c r="C11" s="8" t="s">
        <v>37</v>
      </c>
      <c r="D11" s="8" t="s">
        <v>42</v>
      </c>
      <c r="E11" s="9"/>
      <c r="F11" s="9"/>
      <c r="G11" s="10" t="str">
        <f t="shared" si="0"/>
        <v/>
      </c>
      <c r="H11" s="11" t="str">
        <f t="shared" si="1"/>
        <v/>
      </c>
    </row>
    <row r="12" spans="1:8" x14ac:dyDescent="0.3">
      <c r="A12" s="10">
        <v>9</v>
      </c>
      <c r="B12" s="8" t="s">
        <v>43</v>
      </c>
      <c r="C12" s="8" t="s">
        <v>37</v>
      </c>
      <c r="D12" s="8" t="s">
        <v>44</v>
      </c>
      <c r="E12" s="9"/>
      <c r="F12" s="9"/>
      <c r="G12" s="10" t="str">
        <f t="shared" si="0"/>
        <v/>
      </c>
      <c r="H12" s="11" t="str">
        <f t="shared" si="1"/>
        <v/>
      </c>
    </row>
    <row r="13" spans="1:8" x14ac:dyDescent="0.3">
      <c r="A13" s="14" t="s">
        <v>45</v>
      </c>
      <c r="B13" s="15"/>
      <c r="C13" s="15"/>
      <c r="D13" s="15"/>
      <c r="E13" s="12">
        <f>SUM(E4:E12)</f>
        <v>0</v>
      </c>
      <c r="F13" s="12">
        <f>SUM(F4:F12)</f>
        <v>0</v>
      </c>
      <c r="G13" s="12">
        <f>SUM(G4:G12)</f>
        <v>0</v>
      </c>
      <c r="H13" s="13" t="str">
        <f>IF(SUM(E4:E12)=0,"",SUM(G4:G12)/SUM(E4:E12))</f>
        <v/>
      </c>
    </row>
  </sheetData>
  <mergeCells count="2">
    <mergeCell ref="A13:D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showGridLines="0" workbookViewId="0"/>
  </sheetViews>
  <sheetFormatPr defaultRowHeight="14.4" x14ac:dyDescent="0.3"/>
  <cols>
    <col min="1" max="1" width="7" customWidth="1"/>
    <col min="2" max="3" width="22" customWidth="1"/>
    <col min="4" max="4" width="30" customWidth="1"/>
    <col min="5" max="5" width="13" customWidth="1"/>
    <col min="6" max="7" width="9" customWidth="1"/>
    <col min="8" max="8" width="10" customWidth="1"/>
  </cols>
  <sheetData>
    <row r="1" spans="1:8" ht="16.8" x14ac:dyDescent="0.3">
      <c r="A1" s="16" t="s">
        <v>46</v>
      </c>
      <c r="B1" s="17"/>
      <c r="C1" s="17"/>
      <c r="D1" s="17"/>
      <c r="E1" s="17"/>
      <c r="F1" s="17"/>
      <c r="G1" s="17"/>
      <c r="H1" s="17"/>
    </row>
    <row r="3" spans="1:8" ht="26.4" x14ac:dyDescent="0.3">
      <c r="A3" s="7" t="s">
        <v>19</v>
      </c>
      <c r="B3" s="7" t="s">
        <v>12</v>
      </c>
      <c r="C3" s="7" t="s">
        <v>20</v>
      </c>
      <c r="D3" s="7" t="s">
        <v>21</v>
      </c>
      <c r="E3" s="7" t="s">
        <v>13</v>
      </c>
      <c r="F3" s="7" t="s">
        <v>14</v>
      </c>
      <c r="G3" s="7" t="s">
        <v>15</v>
      </c>
      <c r="H3" s="7" t="s">
        <v>16</v>
      </c>
    </row>
    <row r="4" spans="1:8" x14ac:dyDescent="0.3">
      <c r="A4" s="10">
        <v>1</v>
      </c>
      <c r="B4" s="8" t="s">
        <v>27</v>
      </c>
      <c r="C4" s="8" t="s">
        <v>47</v>
      </c>
      <c r="D4" s="8" t="s">
        <v>48</v>
      </c>
      <c r="E4" s="9"/>
      <c r="F4" s="9"/>
      <c r="G4" s="10" t="str">
        <f t="shared" ref="G4:G10" si="0">IF(E4="","",E4-F4)</f>
        <v/>
      </c>
      <c r="H4" s="11" t="str">
        <f t="shared" ref="H4:H10" si="1">IF(OR(E4="",E4=0),"",(E4-F4)/E4)</f>
        <v/>
      </c>
    </row>
    <row r="5" spans="1:8" x14ac:dyDescent="0.3">
      <c r="A5" s="10">
        <v>2</v>
      </c>
      <c r="B5" s="8" t="s">
        <v>30</v>
      </c>
      <c r="C5" s="8" t="s">
        <v>31</v>
      </c>
      <c r="D5" s="8" t="s">
        <v>49</v>
      </c>
      <c r="E5" s="9"/>
      <c r="F5" s="9"/>
      <c r="G5" s="10" t="str">
        <f t="shared" si="0"/>
        <v/>
      </c>
      <c r="H5" s="11" t="str">
        <f t="shared" si="1"/>
        <v/>
      </c>
    </row>
    <row r="6" spans="1:8" x14ac:dyDescent="0.3">
      <c r="A6" s="10">
        <v>3</v>
      </c>
      <c r="B6" s="8" t="s">
        <v>33</v>
      </c>
      <c r="C6" s="8" t="s">
        <v>34</v>
      </c>
      <c r="D6" s="8" t="s">
        <v>50</v>
      </c>
      <c r="E6" s="9"/>
      <c r="F6" s="9"/>
      <c r="G6" s="10" t="str">
        <f t="shared" si="0"/>
        <v/>
      </c>
      <c r="H6" s="11" t="str">
        <f t="shared" si="1"/>
        <v/>
      </c>
    </row>
    <row r="7" spans="1:8" x14ac:dyDescent="0.3">
      <c r="A7" s="10">
        <v>4</v>
      </c>
      <c r="B7" s="8" t="s">
        <v>36</v>
      </c>
      <c r="C7" s="8" t="s">
        <v>37</v>
      </c>
      <c r="D7" s="8" t="s">
        <v>51</v>
      </c>
      <c r="E7" s="9"/>
      <c r="F7" s="9"/>
      <c r="G7" s="10" t="str">
        <f t="shared" si="0"/>
        <v/>
      </c>
      <c r="H7" s="11" t="str">
        <f t="shared" si="1"/>
        <v/>
      </c>
    </row>
    <row r="8" spans="1:8" x14ac:dyDescent="0.3">
      <c r="A8" s="10">
        <v>5</v>
      </c>
      <c r="B8" s="8" t="s">
        <v>39</v>
      </c>
      <c r="C8" s="8" t="s">
        <v>37</v>
      </c>
      <c r="D8" s="8" t="s">
        <v>52</v>
      </c>
      <c r="E8" s="9"/>
      <c r="F8" s="9"/>
      <c r="G8" s="10" t="str">
        <f t="shared" si="0"/>
        <v/>
      </c>
      <c r="H8" s="11" t="str">
        <f t="shared" si="1"/>
        <v/>
      </c>
    </row>
    <row r="9" spans="1:8" x14ac:dyDescent="0.3">
      <c r="A9" s="10">
        <v>6</v>
      </c>
      <c r="B9" s="8" t="s">
        <v>41</v>
      </c>
      <c r="C9" s="8" t="s">
        <v>37</v>
      </c>
      <c r="D9" s="8" t="s">
        <v>53</v>
      </c>
      <c r="E9" s="9"/>
      <c r="F9" s="9"/>
      <c r="G9" s="10" t="str">
        <f t="shared" si="0"/>
        <v/>
      </c>
      <c r="H9" s="11" t="str">
        <f t="shared" si="1"/>
        <v/>
      </c>
    </row>
    <row r="10" spans="1:8" x14ac:dyDescent="0.3">
      <c r="A10" s="10">
        <v>7</v>
      </c>
      <c r="B10" s="8" t="s">
        <v>43</v>
      </c>
      <c r="C10" s="8" t="s">
        <v>37</v>
      </c>
      <c r="D10" s="8" t="s">
        <v>54</v>
      </c>
      <c r="E10" s="9"/>
      <c r="F10" s="9"/>
      <c r="G10" s="10" t="str">
        <f t="shared" si="0"/>
        <v/>
      </c>
      <c r="H10" s="11" t="str">
        <f t="shared" si="1"/>
        <v/>
      </c>
    </row>
    <row r="11" spans="1:8" x14ac:dyDescent="0.3">
      <c r="A11" s="14" t="s">
        <v>45</v>
      </c>
      <c r="B11" s="15"/>
      <c r="C11" s="15"/>
      <c r="D11" s="15"/>
      <c r="E11" s="12">
        <f>SUM(E4:E10)</f>
        <v>0</v>
      </c>
      <c r="F11" s="12">
        <f>SUM(F4:F10)</f>
        <v>0</v>
      </c>
      <c r="G11" s="12">
        <f>SUM(G4:G10)</f>
        <v>0</v>
      </c>
      <c r="H11" s="13" t="str">
        <f>IF(SUM(E4:E10)=0,"",SUM(G4:G10)/SUM(E4:E10))</f>
        <v/>
      </c>
    </row>
  </sheetData>
  <mergeCells count="2">
    <mergeCell ref="A11:D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showGridLines="0" workbookViewId="0"/>
  </sheetViews>
  <sheetFormatPr defaultRowHeight="14.4" x14ac:dyDescent="0.3"/>
  <cols>
    <col min="1" max="1" width="7" customWidth="1"/>
    <col min="2" max="3" width="22" customWidth="1"/>
    <col min="4" max="4" width="30" customWidth="1"/>
    <col min="5" max="5" width="13" customWidth="1"/>
    <col min="6" max="7" width="9" customWidth="1"/>
    <col min="8" max="8" width="10" customWidth="1"/>
  </cols>
  <sheetData>
    <row r="1" spans="1:8" ht="16.8" x14ac:dyDescent="0.3">
      <c r="A1" s="16" t="s">
        <v>55</v>
      </c>
      <c r="B1" s="17"/>
      <c r="C1" s="17"/>
      <c r="D1" s="17"/>
      <c r="E1" s="17"/>
      <c r="F1" s="17"/>
      <c r="G1" s="17"/>
      <c r="H1" s="17"/>
    </row>
    <row r="3" spans="1:8" ht="26.4" x14ac:dyDescent="0.3">
      <c r="A3" s="7" t="s">
        <v>19</v>
      </c>
      <c r="B3" s="7" t="s">
        <v>12</v>
      </c>
      <c r="C3" s="7" t="s">
        <v>20</v>
      </c>
      <c r="D3" s="7" t="s">
        <v>21</v>
      </c>
      <c r="E3" s="7" t="s">
        <v>13</v>
      </c>
      <c r="F3" s="7" t="s">
        <v>14</v>
      </c>
      <c r="G3" s="7" t="s">
        <v>15</v>
      </c>
      <c r="H3" s="7" t="s">
        <v>16</v>
      </c>
    </row>
    <row r="4" spans="1:8" ht="26.4" x14ac:dyDescent="0.3">
      <c r="A4" s="10">
        <v>1</v>
      </c>
      <c r="B4" s="8" t="s">
        <v>56</v>
      </c>
      <c r="C4" s="8" t="s">
        <v>28</v>
      </c>
      <c r="D4" s="8" t="s">
        <v>57</v>
      </c>
      <c r="E4" s="9"/>
      <c r="F4" s="9"/>
      <c r="G4" s="10" t="str">
        <f>IF(E4="","",E4-F4)</f>
        <v/>
      </c>
      <c r="H4" s="11" t="str">
        <f>IF(OR(E4="",E4=0),"",(E4-F4)/E4)</f>
        <v/>
      </c>
    </row>
    <row r="5" spans="1:8" x14ac:dyDescent="0.3">
      <c r="A5" s="10">
        <v>2</v>
      </c>
      <c r="B5" s="8" t="s">
        <v>30</v>
      </c>
      <c r="C5" s="8" t="s">
        <v>58</v>
      </c>
      <c r="D5" s="8" t="s">
        <v>59</v>
      </c>
      <c r="E5" s="9"/>
      <c r="F5" s="9"/>
      <c r="G5" s="10" t="str">
        <f>IF(E5="","",E5-F5)</f>
        <v/>
      </c>
      <c r="H5" s="11" t="str">
        <f>IF(OR(E5="",E5=0),"",(E5-F5)/E5)</f>
        <v/>
      </c>
    </row>
    <row r="6" spans="1:8" x14ac:dyDescent="0.3">
      <c r="A6" s="10">
        <v>3</v>
      </c>
      <c r="B6" s="8" t="s">
        <v>39</v>
      </c>
      <c r="C6" s="8" t="s">
        <v>37</v>
      </c>
      <c r="D6" s="8" t="s">
        <v>60</v>
      </c>
      <c r="E6" s="9"/>
      <c r="F6" s="9"/>
      <c r="G6" s="10" t="str">
        <f>IF(E6="","",E6-F6)</f>
        <v/>
      </c>
      <c r="H6" s="11" t="str">
        <f>IF(OR(E6="",E6=0),"",(E6-F6)/E6)</f>
        <v/>
      </c>
    </row>
    <row r="7" spans="1:8" x14ac:dyDescent="0.3">
      <c r="A7" s="10">
        <v>4</v>
      </c>
      <c r="B7" s="8" t="s">
        <v>41</v>
      </c>
      <c r="C7" s="8" t="s">
        <v>37</v>
      </c>
      <c r="D7" s="8" t="s">
        <v>42</v>
      </c>
      <c r="E7" s="9"/>
      <c r="F7" s="9"/>
      <c r="G7" s="10" t="str">
        <f>IF(E7="","",E7-F7)</f>
        <v/>
      </c>
      <c r="H7" s="11" t="str">
        <f>IF(OR(E7="",E7=0),"",(E7-F7)/E7)</f>
        <v/>
      </c>
    </row>
    <row r="8" spans="1:8" x14ac:dyDescent="0.3">
      <c r="A8" s="10">
        <v>5</v>
      </c>
      <c r="B8" s="8" t="s">
        <v>43</v>
      </c>
      <c r="C8" s="8" t="s">
        <v>37</v>
      </c>
      <c r="D8" s="8" t="s">
        <v>61</v>
      </c>
      <c r="E8" s="9"/>
      <c r="F8" s="9"/>
      <c r="G8" s="10" t="str">
        <f>IF(E8="","",E8-F8)</f>
        <v/>
      </c>
      <c r="H8" s="11" t="str">
        <f>IF(OR(E8="",E8=0),"",(E8-F8)/E8)</f>
        <v/>
      </c>
    </row>
    <row r="9" spans="1:8" x14ac:dyDescent="0.3">
      <c r="A9" s="14" t="s">
        <v>45</v>
      </c>
      <c r="B9" s="15"/>
      <c r="C9" s="15"/>
      <c r="D9" s="15"/>
      <c r="E9" s="12">
        <f>SUM(E4:E8)</f>
        <v>0</v>
      </c>
      <c r="F9" s="12">
        <f>SUM(F4:F8)</f>
        <v>0</v>
      </c>
      <c r="G9" s="12">
        <f>SUM(G4:G8)</f>
        <v>0</v>
      </c>
      <c r="H9" s="13" t="str">
        <f>IF(SUM(E4:E8)=0,"",SUM(G4:G8)/SUM(E4:E8))</f>
        <v/>
      </c>
    </row>
  </sheetData>
  <mergeCells count="2">
    <mergeCell ref="A9:D9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showGridLines="0" workbookViewId="0"/>
  </sheetViews>
  <sheetFormatPr defaultRowHeight="14.4" x14ac:dyDescent="0.3"/>
  <cols>
    <col min="1" max="1" width="7" customWidth="1"/>
    <col min="2" max="3" width="22" customWidth="1"/>
    <col min="4" max="4" width="30" customWidth="1"/>
    <col min="5" max="5" width="13" customWidth="1"/>
    <col min="6" max="7" width="9" customWidth="1"/>
    <col min="8" max="8" width="10" customWidth="1"/>
  </cols>
  <sheetData>
    <row r="1" spans="1:8" ht="16.8" x14ac:dyDescent="0.3">
      <c r="A1" s="16" t="s">
        <v>62</v>
      </c>
      <c r="B1" s="17"/>
      <c r="C1" s="17"/>
      <c r="D1" s="17"/>
      <c r="E1" s="17"/>
      <c r="F1" s="17"/>
      <c r="G1" s="17"/>
      <c r="H1" s="17"/>
    </row>
    <row r="3" spans="1:8" ht="26.4" x14ac:dyDescent="0.3">
      <c r="A3" s="7" t="s">
        <v>19</v>
      </c>
      <c r="B3" s="7" t="s">
        <v>12</v>
      </c>
      <c r="C3" s="7" t="s">
        <v>20</v>
      </c>
      <c r="D3" s="7" t="s">
        <v>21</v>
      </c>
      <c r="E3" s="7" t="s">
        <v>13</v>
      </c>
      <c r="F3" s="7" t="s">
        <v>14</v>
      </c>
      <c r="G3" s="7" t="s">
        <v>15</v>
      </c>
      <c r="H3" s="7" t="s">
        <v>16</v>
      </c>
    </row>
    <row r="4" spans="1:8" x14ac:dyDescent="0.3">
      <c r="A4" s="10">
        <v>1</v>
      </c>
      <c r="B4" s="8" t="s">
        <v>56</v>
      </c>
      <c r="C4" s="8" t="s">
        <v>47</v>
      </c>
      <c r="D4" s="8" t="s">
        <v>63</v>
      </c>
      <c r="E4" s="9"/>
      <c r="F4" s="9"/>
      <c r="G4" s="10" t="str">
        <f>IF(E4="","",E4-F4)</f>
        <v/>
      </c>
      <c r="H4" s="11" t="str">
        <f>IF(OR(E4="",E4=0),"",(E4-F4)/E4)</f>
        <v/>
      </c>
    </row>
    <row r="5" spans="1:8" x14ac:dyDescent="0.3">
      <c r="A5" s="10">
        <v>2</v>
      </c>
      <c r="B5" s="8" t="s">
        <v>30</v>
      </c>
      <c r="C5" s="8" t="s">
        <v>58</v>
      </c>
      <c r="D5" s="8" t="s">
        <v>64</v>
      </c>
      <c r="E5" s="9"/>
      <c r="F5" s="9"/>
      <c r="G5" s="10" t="str">
        <f>IF(E5="","",E5-F5)</f>
        <v/>
      </c>
      <c r="H5" s="11" t="str">
        <f>IF(OR(E5="",E5=0),"",(E5-F5)/E5)</f>
        <v/>
      </c>
    </row>
    <row r="6" spans="1:8" x14ac:dyDescent="0.3">
      <c r="A6" s="10">
        <v>3</v>
      </c>
      <c r="B6" s="8" t="s">
        <v>39</v>
      </c>
      <c r="C6" s="8" t="s">
        <v>37</v>
      </c>
      <c r="D6" s="8" t="s">
        <v>65</v>
      </c>
      <c r="E6" s="9"/>
      <c r="F6" s="9"/>
      <c r="G6" s="10" t="str">
        <f>IF(E6="","",E6-F6)</f>
        <v/>
      </c>
      <c r="H6" s="11" t="str">
        <f>IF(OR(E6="",E6=0),"",(E6-F6)/E6)</f>
        <v/>
      </c>
    </row>
    <row r="7" spans="1:8" x14ac:dyDescent="0.3">
      <c r="A7" s="10">
        <v>4</v>
      </c>
      <c r="B7" s="8" t="s">
        <v>41</v>
      </c>
      <c r="C7" s="8" t="s">
        <v>37</v>
      </c>
      <c r="D7" s="8" t="s">
        <v>66</v>
      </c>
      <c r="E7" s="9"/>
      <c r="F7" s="9"/>
      <c r="G7" s="10" t="str">
        <f>IF(E7="","",E7-F7)</f>
        <v/>
      </c>
      <c r="H7" s="11" t="str">
        <f>IF(OR(E7="",E7=0),"",(E7-F7)/E7)</f>
        <v/>
      </c>
    </row>
    <row r="8" spans="1:8" x14ac:dyDescent="0.3">
      <c r="A8" s="10">
        <v>5</v>
      </c>
      <c r="B8" s="8" t="s">
        <v>43</v>
      </c>
      <c r="C8" s="8" t="s">
        <v>37</v>
      </c>
      <c r="D8" s="8" t="s">
        <v>67</v>
      </c>
      <c r="E8" s="9"/>
      <c r="F8" s="9"/>
      <c r="G8" s="10" t="str">
        <f>IF(E8="","",E8-F8)</f>
        <v/>
      </c>
      <c r="H8" s="11" t="str">
        <f>IF(OR(E8="",E8=0),"",(E8-F8)/E8)</f>
        <v/>
      </c>
    </row>
    <row r="9" spans="1:8" x14ac:dyDescent="0.3">
      <c r="A9" s="14" t="s">
        <v>45</v>
      </c>
      <c r="B9" s="15"/>
      <c r="C9" s="15"/>
      <c r="D9" s="15"/>
      <c r="E9" s="12">
        <f>SUM(E4:E8)</f>
        <v>0</v>
      </c>
      <c r="F9" s="12">
        <f>SUM(F4:F8)</f>
        <v>0</v>
      </c>
      <c r="G9" s="12">
        <f>SUM(G4:G8)</f>
        <v>0</v>
      </c>
      <c r="H9" s="13" t="str">
        <f>IF(SUM(E4:E8)=0,"",SUM(G4:G8)/SUM(E4:E8))</f>
        <v/>
      </c>
    </row>
  </sheetData>
  <mergeCells count="2">
    <mergeCell ref="A9:D9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showGridLines="0" workbookViewId="0"/>
  </sheetViews>
  <sheetFormatPr defaultRowHeight="14.4" x14ac:dyDescent="0.3"/>
  <cols>
    <col min="1" max="1" width="8" customWidth="1"/>
    <col min="2" max="2" width="14" customWidth="1"/>
    <col min="3" max="3" width="16" customWidth="1"/>
    <col min="4" max="4" width="34" customWidth="1"/>
    <col min="5" max="6" width="12" customWidth="1"/>
  </cols>
  <sheetData>
    <row r="1" spans="1:6" ht="17.399999999999999" x14ac:dyDescent="0.3">
      <c r="A1" s="18" t="s">
        <v>68</v>
      </c>
      <c r="B1" s="17"/>
      <c r="C1" s="17"/>
      <c r="D1" s="17"/>
      <c r="E1" s="17"/>
      <c r="F1" s="17"/>
    </row>
    <row r="3" spans="1:6" x14ac:dyDescent="0.3">
      <c r="A3" s="7" t="s">
        <v>69</v>
      </c>
      <c r="B3" s="7" t="s">
        <v>70</v>
      </c>
      <c r="C3" s="7" t="s">
        <v>71</v>
      </c>
      <c r="D3" s="7" t="s">
        <v>72</v>
      </c>
      <c r="E3" s="7" t="s">
        <v>73</v>
      </c>
      <c r="F3" s="7" t="s">
        <v>74</v>
      </c>
    </row>
    <row r="4" spans="1:6" x14ac:dyDescent="0.3">
      <c r="A4" s="10">
        <v>1</v>
      </c>
      <c r="B4" s="10" t="s">
        <v>75</v>
      </c>
      <c r="C4" s="10" t="s">
        <v>76</v>
      </c>
      <c r="D4" s="8" t="s">
        <v>77</v>
      </c>
      <c r="E4" s="10">
        <f>'1_ขาเข้า-บัตรผ่าน'!E13</f>
        <v>0</v>
      </c>
      <c r="F4" s="11" t="str">
        <f>'1_ขาเข้า-บัตรผ่าน'!H13</f>
        <v/>
      </c>
    </row>
    <row r="5" spans="1:6" x14ac:dyDescent="0.3">
      <c r="A5" s="10">
        <v>2</v>
      </c>
      <c r="B5" s="10" t="s">
        <v>75</v>
      </c>
      <c r="C5" s="10" t="s">
        <v>78</v>
      </c>
      <c r="D5" s="8" t="s">
        <v>79</v>
      </c>
      <c r="E5" s="10">
        <f>'2_ขาเข้า-บัตรไม่ผ่าน'!E11</f>
        <v>0</v>
      </c>
      <c r="F5" s="11" t="str">
        <f>'2_ขาเข้า-บัตรไม่ผ่าน'!H11</f>
        <v/>
      </c>
    </row>
    <row r="6" spans="1:6" x14ac:dyDescent="0.3">
      <c r="A6" s="10">
        <v>3</v>
      </c>
      <c r="B6" s="10" t="s">
        <v>80</v>
      </c>
      <c r="C6" s="10" t="s">
        <v>76</v>
      </c>
      <c r="D6" s="8" t="s">
        <v>81</v>
      </c>
      <c r="E6" s="10">
        <f>'3_ขาออก-บัตรผ่าน'!E9</f>
        <v>0</v>
      </c>
      <c r="F6" s="11" t="str">
        <f>'3_ขาออก-บัตรผ่าน'!H9</f>
        <v/>
      </c>
    </row>
    <row r="7" spans="1:6" x14ac:dyDescent="0.3">
      <c r="A7" s="10">
        <v>4</v>
      </c>
      <c r="B7" s="10" t="s">
        <v>80</v>
      </c>
      <c r="C7" s="10" t="s">
        <v>78</v>
      </c>
      <c r="D7" s="8" t="s">
        <v>82</v>
      </c>
      <c r="E7" s="10">
        <f>'4_ขาออก-บัตรไม่ผ่าน'!E9</f>
        <v>0</v>
      </c>
      <c r="F7" s="11" t="str">
        <f>'4_ขาออก-บัตรไม่ผ่าน'!H9</f>
        <v/>
      </c>
    </row>
    <row r="8" spans="1:6" x14ac:dyDescent="0.3">
      <c r="A8" s="14" t="s">
        <v>83</v>
      </c>
      <c r="B8" s="15"/>
      <c r="C8" s="15"/>
      <c r="D8" s="15"/>
      <c r="E8" s="12">
        <f>SUM(E4:E7)</f>
        <v>0</v>
      </c>
      <c r="F8" s="13" t="str">
        <f>IF(('1_ขาเข้า-บัตรผ่าน'!E13+'2_ขาเข้า-บัตรไม่ผ่าน'!E11+'3_ขาออก-บัตรผ่าน'!E9+'4_ขาออก-บัตรไม่ผ่าน'!E9)=0,"",('1_ขาเข้า-บัตรผ่าน'!G13+'2_ขาเข้า-บัตรไม่ผ่าน'!G11+'3_ขาออก-บัตรผ่าน'!G9+'4_ขาออก-บัตรไม่ผ่าน'!G9)/('1_ขาเข้า-บัตรผ่าน'!E13+'2_ขาเข้า-บัตรไม่ผ่าน'!E11+'3_ขาออก-บัตรผ่าน'!E9+'4_ขาออก-บัตรไม่ผ่าน'!E9))</f>
        <v/>
      </c>
    </row>
    <row r="10" spans="1:6" x14ac:dyDescent="0.3">
      <c r="A10" s="19" t="s">
        <v>84</v>
      </c>
      <c r="B10" s="17"/>
      <c r="C10" s="17"/>
      <c r="D10" s="17"/>
      <c r="E10" s="17"/>
      <c r="F10" s="17"/>
    </row>
  </sheetData>
  <mergeCells count="3">
    <mergeCell ref="A1:F1"/>
    <mergeCell ref="A8:D8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คำอธิบาย</vt:lpstr>
      <vt:lpstr>1_ขาเข้า-บัตรผ่าน</vt:lpstr>
      <vt:lpstr>2_ขาเข้า-บัตรไม่ผ่าน</vt:lpstr>
      <vt:lpstr>3_ขาออก-บัตรผ่าน</vt:lpstr>
      <vt:lpstr>4_ขาออก-บัตรไม่ผ่าน</vt:lpstr>
      <vt:lpstr>สรุปผล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Thirasan khongkoed</cp:lastModifiedBy>
  <dcterms:created xsi:type="dcterms:W3CDTF">2026-08-04T13:33:45Z</dcterms:created>
  <dcterms:modified xsi:type="dcterms:W3CDTF">2026-08-04T13:35:42Z</dcterms:modified>
</cp:coreProperties>
</file>